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สูตร" sheetId="1" state="visible" r:id="rId1"/>
    <sheet xmlns:r="http://schemas.openxmlformats.org/officeDocument/2006/relationships" name="Sheet2_ต้นทุน" sheetId="2" state="visible" r:id="rId2"/>
    <sheet xmlns:r="http://schemas.openxmlformats.org/officeDocument/2006/relationships" name="Sheet3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บาท&quot;"/>
  </numFmts>
  <fonts count="8">
    <font>
      <name val="Calibri"/>
      <family val="2"/>
      <color theme="1"/>
      <sz val="11"/>
      <scheme val="minor"/>
    </font>
    <font>
      <name val="Tahoma"/>
      <b val="1"/>
      <color rgb="001F4D3A"/>
      <sz val="14"/>
    </font>
    <font>
      <name val="Tahoma"/>
      <i val="1"/>
      <color rgb="00666666"/>
      <sz val="9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1F4D3A"/>
    </font>
    <font>
      <name val="Tahoma"/>
      <b val="1"/>
    </font>
    <font>
      <name val="Tahoma"/>
      <b val="1"/>
      <color rgb="001F4D3A"/>
      <sz val="12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8E7"/>
      </patternFill>
    </fill>
    <fill>
      <patternFill patternType="solid">
        <fgColor rgb="00F3F1EC"/>
      </patternFill>
    </fill>
    <fill>
      <patternFill patternType="solid">
        <fgColor rgb="00E4F2E8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2" fontId="0" fillId="4" borderId="1" pivotButton="0" quotePrefix="0" xfId="0"/>
    <xf numFmtId="2" fontId="0" fillId="3" borderId="1" pivotButton="0" quotePrefix="0" xfId="0"/>
    <xf numFmtId="3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4F2E8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SmartGift · Sheet1 สูตรและพารามิเตอร์ (แก้ช่องเหลืองได้)</t>
        </is>
      </c>
    </row>
    <row r="2">
      <c r="A2" s="2" t="inlineStr">
        <is>
          <t>ชีตนี้เป็นสมองของสมุด — Sheet2 อ้าง FX / SOF / Markup จากที่นี่ แล้ว Sheet3 ดึงราคา Final จาก Sheet2 เท่านั้น</t>
        </is>
      </c>
    </row>
    <row r="4">
      <c r="A4" s="3" t="inlineStr">
        <is>
          <t>พารามิเตอร์</t>
        </is>
      </c>
      <c r="B4" s="3" t="inlineStr">
        <is>
          <t>ค่า</t>
        </is>
      </c>
      <c r="C4" s="3" t="inlineStr">
        <is>
          <t>หน่วย / หมายเหตุ</t>
        </is>
      </c>
      <c r="E4" s="4" t="inlineStr">
        <is>
          <t>สมการหลัก (อ่านอย่างเดียว)</t>
        </is>
      </c>
    </row>
    <row r="5">
      <c r="A5" s="5" t="inlineStr">
        <is>
          <t>FX_CNY_THB</t>
        </is>
      </c>
      <c r="B5" s="6" t="n">
        <v>5</v>
      </c>
      <c r="C5" s="2" t="inlineStr">
        <is>
          <t>อัตราแลกเปลี่ยน (แก้ได้)</t>
        </is>
      </c>
      <c r="E5" t="inlineStr">
        <is>
          <t>ลงเรือ</t>
        </is>
      </c>
      <c r="F5" t="inlineStr">
        <is>
          <t>โรงงานบาท + inland/ชิ้น + freight/ชิ้น</t>
        </is>
      </c>
    </row>
    <row r="6">
      <c r="A6" s="5" t="inlineStr">
        <is>
          <t>โปรไฟล์</t>
        </is>
      </c>
      <c r="B6" s="6" t="inlineStr">
        <is>
          <t>standard</t>
        </is>
      </c>
      <c r="C6" s="2" t="inlineStr">
        <is>
          <t>standard หรือ corporate</t>
        </is>
      </c>
      <c r="E6" t="inlineStr">
        <is>
          <t>ขาย</t>
        </is>
      </c>
      <c r="F6" t="inlineStr">
        <is>
          <t>ปัด(ลงเรือ × SOF × markup)</t>
        </is>
      </c>
    </row>
    <row r="7">
      <c r="A7" s="5" t="inlineStr">
        <is>
          <t>รวมค่าขนส่งจีน→ไทย</t>
        </is>
      </c>
      <c r="B7" s="6" t="inlineStr">
        <is>
          <t>YES</t>
        </is>
      </c>
      <c r="C7" s="2" t="inlineStr">
        <is>
          <t>YES / NO</t>
        </is>
      </c>
      <c r="E7" t="inlineStr">
        <is>
          <t>โรงงานบาท</t>
        </is>
      </c>
      <c r="F7" t="inlineStr">
        <is>
          <t>โรงงานCNY × FX_CNY_THB</t>
        </is>
      </c>
    </row>
    <row r="8">
      <c r="A8" s="5" t="inlineStr">
        <is>
          <t>รวมแพ็กเกจ</t>
        </is>
      </c>
      <c r="B8" s="6" t="inlineStr">
        <is>
          <t>NO</t>
        </is>
      </c>
      <c r="C8" s="2" t="inlineStr">
        <is>
          <t>YES / NO · +80–150 บาทถ้า YES</t>
        </is>
      </c>
      <c r="E8" t="inlineStr">
        <is>
          <t>หมายเหตุ</t>
        </is>
      </c>
      <c r="F8" t="inlineStr">
        <is>
          <t>บนเว็บใช้ computeUnitLanded จริง · ชีตนี้ประมาณด้วย inland/freight ที่ใส่ใน Sheet2</t>
        </is>
      </c>
    </row>
    <row r="9">
      <c r="A9" s="5" t="inlineStr">
        <is>
          <t>แพ็กเกจต่ำ</t>
        </is>
      </c>
      <c r="B9" s="6" t="n">
        <v>80</v>
      </c>
      <c r="C9" s="2" t="inlineStr">
        <is>
          <t>บาท/ชุด</t>
        </is>
      </c>
    </row>
    <row r="10">
      <c r="A10" s="5" t="inlineStr">
        <is>
          <t>แพ็กเกจสูง</t>
        </is>
      </c>
      <c r="B10" s="6" t="n">
        <v>150</v>
      </c>
      <c r="C10" s="2" t="inlineStr">
        <is>
          <t>บาท/ชุด</t>
        </is>
      </c>
    </row>
    <row r="11">
      <c r="A11" s="5" t="inlineStr">
        <is>
          <t>พื้นกำไร &lt;500 ชุด</t>
        </is>
      </c>
      <c r="B11" s="6" t="n">
        <v>5000</v>
      </c>
      <c r="C11" s="2" t="inlineStr">
        <is>
          <t>บาท/ออเดอร์ (standard)</t>
        </is>
      </c>
    </row>
    <row r="12">
      <c r="A12" s="5" t="inlineStr">
        <is>
          <t>พื้นกำไร 500+ ชุด</t>
        </is>
      </c>
      <c r="B12" s="6" t="n">
        <v>3000</v>
      </c>
      <c r="C12" s="2" t="inlineStr">
        <is>
          <t>บาท/ออเดอร์ (standard)</t>
        </is>
      </c>
    </row>
    <row r="13">
      <c r="A13" s="5" t="inlineStr">
        <is>
          <t>พื้นกำไรองค์กร</t>
        </is>
      </c>
      <c r="B13" s="6" t="n">
        <v>20000</v>
      </c>
      <c r="C13" s="2" t="inlineStr">
        <is>
          <t>บาท · ใช้เมื่อโปรไฟล์=corporate</t>
        </is>
      </c>
    </row>
    <row r="14">
      <c r="A14" s="5" t="inlineStr">
        <is>
          <t>Markup องค์กร</t>
        </is>
      </c>
      <c r="B14" s="6" t="n">
        <v>1.47</v>
      </c>
      <c r="C14" s="2" t="inlineStr">
        <is>
          <t>คงที่เมื่อโปรไฟล์=corporate</t>
        </is>
      </c>
    </row>
    <row r="16">
      <c r="A16" s="7" t="inlineStr">
        <is>
          <t>ตาราง SOF (Small Order Factor)</t>
        </is>
      </c>
      <c r="D16" s="7" t="inlineStr">
        <is>
          <t>ตาราง Markup ตามต้นทุนลงเรือ (บาท)</t>
        </is>
      </c>
    </row>
    <row r="17">
      <c r="A17" s="3" t="inlineStr">
        <is>
          <t>qty_max</t>
        </is>
      </c>
      <c r="B17" s="3" t="inlineStr">
        <is>
          <t>SOF</t>
        </is>
      </c>
      <c r="D17" s="8" t="inlineStr">
        <is>
          <t>landed_max</t>
        </is>
      </c>
      <c r="E17" s="8" t="inlineStr">
        <is>
          <t>markup</t>
        </is>
      </c>
    </row>
    <row r="18">
      <c r="A18" s="9" t="n">
        <v>20</v>
      </c>
      <c r="B18" s="9" t="n">
        <v>1.5</v>
      </c>
      <c r="D18" s="9" t="n">
        <v>250</v>
      </c>
      <c r="E18" s="9" t="n">
        <v>3</v>
      </c>
    </row>
    <row r="19">
      <c r="A19" s="9" t="n">
        <v>50</v>
      </c>
      <c r="B19" s="9" t="n">
        <v>1.4</v>
      </c>
      <c r="D19" s="9" t="n">
        <v>350</v>
      </c>
      <c r="E19" s="9" t="n">
        <v>2.73</v>
      </c>
    </row>
    <row r="20">
      <c r="A20" s="9" t="n">
        <v>100</v>
      </c>
      <c r="B20" s="9" t="n">
        <v>1.3</v>
      </c>
      <c r="D20" s="9" t="n">
        <v>500</v>
      </c>
      <c r="E20" s="9" t="n">
        <v>2.62</v>
      </c>
    </row>
    <row r="21">
      <c r="A21" s="9" t="n">
        <v>300</v>
      </c>
      <c r="B21" s="9" t="n">
        <v>1.2</v>
      </c>
      <c r="D21" s="9" t="n">
        <v>650</v>
      </c>
      <c r="E21" s="9" t="n">
        <v>2.45</v>
      </c>
    </row>
    <row r="22">
      <c r="A22" s="9" t="n">
        <v>499</v>
      </c>
      <c r="B22" s="9" t="n">
        <v>1.1</v>
      </c>
      <c r="D22" s="9" t="n">
        <v>999999</v>
      </c>
      <c r="E22" s="9" t="n">
        <v>2.14</v>
      </c>
    </row>
    <row r="23">
      <c r="A23" s="9" t="n">
        <v>999999</v>
      </c>
      <c r="B23" s="9" t="n">
        <v>1</v>
      </c>
    </row>
    <row r="25">
      <c r="A25" s="2" t="inlineStr">
        <is>
          <t>วิธีใช้: แก้ FX ที่ B5 → ไป Sheet2 แก้จำนวน (คอลัมน์ C) → ดูราคา Final ที่ Sheet3</t>
        </is>
      </c>
    </row>
  </sheetData>
  <mergeCells count="4">
    <mergeCell ref="A2:F2"/>
    <mergeCell ref="E4:F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Sheet2 · รายการสินค้า × ต้นทุน (แก้ช่องเหลือง · คอลัมน์คำนวณอ้าง Sheet1)</t>
        </is>
      </c>
    </row>
    <row r="2">
      <c r="A2" s="2" t="inlineStr">
        <is>
          <t>คอลัมน์ inland/freight เป็นค่าประมาณต่อชิ้นเพื่อให้ลองสูตรใน Excel ได้ บนหน้าเว็บ /ops/price-sheet ระบบคำนวณขนส่งจากน้ำหนัก/CBM จริง</t>
        </is>
      </c>
    </row>
    <row r="4">
      <c r="A4" s="3" t="inlineStr">
        <is>
          <t>รหัส</t>
        </is>
      </c>
      <c r="B4" s="3" t="inlineStr">
        <is>
          <t>ชื่อสินค้า</t>
        </is>
      </c>
      <c r="C4" s="3" t="inlineStr">
        <is>
          <t>จำนวน (qty)</t>
        </is>
      </c>
      <c r="D4" s="3" t="inlineStr">
        <is>
          <t>โรงงาน CNY</t>
        </is>
      </c>
      <c r="E4" s="3" t="inlineStr">
        <is>
          <t>โรงงานบาท</t>
        </is>
      </c>
      <c r="F4" s="3" t="inlineStr">
        <is>
          <t>inland/ชิ้น</t>
        </is>
      </c>
      <c r="G4" s="3" t="inlineStr">
        <is>
          <t>freight/ชิ้น</t>
        </is>
      </c>
      <c r="H4" s="3" t="inlineStr">
        <is>
          <t>ลงเรือ</t>
        </is>
      </c>
      <c r="I4" s="3" t="inlineStr">
        <is>
          <t>SOF</t>
        </is>
      </c>
      <c r="J4" s="3" t="inlineStr">
        <is>
          <t>Markup</t>
        </is>
      </c>
      <c r="K4" s="3" t="inlineStr">
        <is>
          <t>ขาย/ชิ้น</t>
        </is>
      </c>
      <c r="L4" s="3" t="inlineStr">
        <is>
          <t>กำไรชุด</t>
        </is>
      </c>
      <c r="M4" s="3" t="inlineStr">
        <is>
          <t>พื้นกำไร</t>
        </is>
      </c>
      <c r="N4" s="3" t="inlineStr">
        <is>
          <t>ผ่านพื้น?</t>
        </is>
      </c>
    </row>
    <row r="5">
      <c r="A5" s="9" t="inlineStr">
        <is>
          <t>DEMO-BOX-01</t>
        </is>
      </c>
      <c r="B5" s="9" t="inlineStr">
        <is>
          <t>กล่องของขวัญพรีเมียม A</t>
        </is>
      </c>
      <c r="C5" s="6" t="n">
        <v>50</v>
      </c>
      <c r="D5" s="6" t="n">
        <v>28</v>
      </c>
      <c r="E5" s="10">
        <f>D5*'Sheet1_สูตร'!$B$5</f>
        <v/>
      </c>
      <c r="F5" s="11" t="n">
        <v>8</v>
      </c>
      <c r="G5" s="11" t="n">
        <v>22</v>
      </c>
      <c r="H5" s="10">
        <f>E5+F5+G5</f>
        <v/>
      </c>
      <c r="I5" s="10">
        <f>IF(C5&lt;=20,1.5,IF(C5&lt;=50,1.4,IF(C5&lt;=100,1.3,IF(C5&lt;=300,1.2,IF(C5&lt;=499,1.1,1)))))</f>
        <v/>
      </c>
      <c r="J5" s="10">
        <f>IF('Sheet1_สูตร'!$B$6="corporate",'Sheet1_สูตร'!$B$14,IF(H5&lt;=250,3,IF(H5&lt;=350,2.73,IF(H5&lt;=500,2.62,IF(H5&lt;=650,2.45,2.14)))))</f>
        <v/>
      </c>
      <c r="K5" s="12">
        <f>ROUND(H5*I5*J5,0)+IF('Sheet1_สูตร'!$B$8="YES",'Sheet1_สูตร'!$B$9,0)</f>
        <v/>
      </c>
      <c r="L5" s="12">
        <f>(K5-H5)*C5</f>
        <v/>
      </c>
      <c r="M5" s="12">
        <f>IF('Sheet1_สูตร'!$B$6="corporate",'Sheet1_สูตร'!$B$13,IF(C5&lt;500,'Sheet1_สูตร'!$B$11,'Sheet1_สูตร'!$B$12))</f>
        <v/>
      </c>
      <c r="N5" s="13">
        <f>IF(L5&gt;=M5,"PASS","BELOW")</f>
        <v/>
      </c>
    </row>
    <row r="6">
      <c r="A6" s="9" t="inlineStr">
        <is>
          <t>DEMO-TUM-02</t>
        </is>
      </c>
      <c r="B6" s="9" t="inlineStr">
        <is>
          <t>ชุดแก้วเก็บความเย็น</t>
        </is>
      </c>
      <c r="C6" s="6" t="n">
        <v>100</v>
      </c>
      <c r="D6" s="6" t="n">
        <v>45</v>
      </c>
      <c r="E6" s="10">
        <f>D6*'Sheet1_สูตร'!$B$5</f>
        <v/>
      </c>
      <c r="F6" s="11" t="n">
        <v>10</v>
      </c>
      <c r="G6" s="11" t="n">
        <v>28</v>
      </c>
      <c r="H6" s="10">
        <f>E6+F6+G6</f>
        <v/>
      </c>
      <c r="I6" s="10">
        <f>IF(C6&lt;=20,1.5,IF(C6&lt;=50,1.4,IF(C6&lt;=100,1.3,IF(C6&lt;=300,1.2,IF(C6&lt;=499,1.1,1)))))</f>
        <v/>
      </c>
      <c r="J6" s="10">
        <f>IF('Sheet1_สูตร'!$B$6="corporate",'Sheet1_สูตร'!$B$14,IF(H6&lt;=250,3,IF(H6&lt;=350,2.73,IF(H6&lt;=500,2.62,IF(H6&lt;=650,2.45,2.14)))))</f>
        <v/>
      </c>
      <c r="K6" s="12">
        <f>ROUND(H6*I6*J6,0)+IF('Sheet1_สูตร'!$B$8="YES",'Sheet1_สูตร'!$B$9,0)</f>
        <v/>
      </c>
      <c r="L6" s="12">
        <f>(K6-H6)*C6</f>
        <v/>
      </c>
      <c r="M6" s="12">
        <f>IF('Sheet1_สูตร'!$B$6="corporate",'Sheet1_สูตร'!$B$13,IF(C6&lt;500,'Sheet1_สูตร'!$B$11,'Sheet1_สูตร'!$B$12))</f>
        <v/>
      </c>
      <c r="N6" s="13">
        <f>IF(L6&gt;=M6,"PASS","BELOW")</f>
        <v/>
      </c>
    </row>
    <row r="7">
      <c r="A7" s="9" t="inlineStr">
        <is>
          <t>DEMO-HAM-03</t>
        </is>
      </c>
      <c r="B7" s="9" t="inlineStr">
        <is>
          <t>กระเช้าองค์กรพรีเมียม</t>
        </is>
      </c>
      <c r="C7" s="6" t="n">
        <v>20</v>
      </c>
      <c r="D7" s="6" t="n">
        <v>80</v>
      </c>
      <c r="E7" s="10">
        <f>D7*'Sheet1_สูตร'!$B$5</f>
        <v/>
      </c>
      <c r="F7" s="11" t="n">
        <v>18</v>
      </c>
      <c r="G7" s="11" t="n">
        <v>45</v>
      </c>
      <c r="H7" s="10">
        <f>E7+F7+G7</f>
        <v/>
      </c>
      <c r="I7" s="10">
        <f>IF(C7&lt;=20,1.5,IF(C7&lt;=50,1.4,IF(C7&lt;=100,1.3,IF(C7&lt;=300,1.2,IF(C7&lt;=499,1.1,1)))))</f>
        <v/>
      </c>
      <c r="J7" s="10">
        <f>IF('Sheet1_สูตร'!$B$6="corporate",'Sheet1_สูตร'!$B$14,IF(H7&lt;=250,3,IF(H7&lt;=350,2.73,IF(H7&lt;=500,2.62,IF(H7&lt;=650,2.45,2.14)))))</f>
        <v/>
      </c>
      <c r="K7" s="12">
        <f>ROUND(H7*I7*J7,0)+IF('Sheet1_สูตร'!$B$8="YES",'Sheet1_สูตร'!$B$9,0)</f>
        <v/>
      </c>
      <c r="L7" s="12">
        <f>(K7-H7)*C7</f>
        <v/>
      </c>
      <c r="M7" s="12">
        <f>IF('Sheet1_สูตร'!$B$6="corporate",'Sheet1_สูตร'!$B$13,IF(C7&lt;500,'Sheet1_สูตร'!$B$11,'Sheet1_สูตร'!$B$12))</f>
        <v/>
      </c>
      <c r="N7" s="13">
        <f>IF(L7&gt;=M7,"PASS","BELOW")</f>
        <v/>
      </c>
    </row>
    <row r="9">
      <c r="A9" s="2" t="inlineStr">
        <is>
          <t>ลองเปลี่ยนจำนวนในคอลัมน์ C แล้วดู SOF / ขาย / Sheet3 อัปเดตตาม</t>
        </is>
      </c>
    </row>
  </sheetData>
  <mergeCells count="2">
    <mergeCell ref="A2:N2"/>
    <mergeCell ref="A1:N1"/>
  </mergeCells>
  <conditionalFormatting sqref="N5:N7">
    <cfRule type="expression" priority="1" dxfId="0">
      <formula>$N5="PASS"</formula>
    </cfRule>
    <cfRule type="expression" priority="2" dxfId="1">
      <formula>$N5="BELOW"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Sheet3 · ราคา Final (พรีวิวลูกค้า — อ้างอิง Sheet2 อย่างเดียว)</t>
        </is>
      </c>
    </row>
    <row r="2">
      <c r="A2" s="2" t="inlineStr">
        <is>
          <t>ห้ามแก้ราคา Final โดยตรง · แก้ qty/ต้นทุนที่ Sheet2 หรือ FX ที่ Sheet1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ชื่อสินค้า</t>
        </is>
      </c>
      <c r="D4" s="3" t="inlineStr">
        <is>
          <t>จำนวน</t>
        </is>
      </c>
      <c r="E4" s="3" t="inlineStr">
        <is>
          <t>ราคา/ชุด (Final)</t>
        </is>
      </c>
      <c r="F4" s="3" t="inlineStr">
        <is>
          <t>รวมทั้งชุด</t>
        </is>
      </c>
      <c r="G4" s="3" t="inlineStr">
        <is>
          <t>สถานะพื้นกำไร</t>
        </is>
      </c>
    </row>
    <row r="5">
      <c r="A5" s="9" t="n">
        <v>1</v>
      </c>
      <c r="B5" s="9">
        <f>Sheet2_ต้นทุน!A5</f>
        <v/>
      </c>
      <c r="C5" s="9">
        <f>Sheet2_ต้นทุน!B5</f>
        <v/>
      </c>
      <c r="D5" s="9">
        <f>Sheet2_ต้นทุน!C5</f>
        <v/>
      </c>
      <c r="E5" s="14">
        <f>Sheet2_ต้นทุน!K5</f>
        <v/>
      </c>
      <c r="F5" s="15">
        <f>E5*D5</f>
        <v/>
      </c>
      <c r="G5" s="9">
        <f>Sheet2_ต้นทุน!N5</f>
        <v/>
      </c>
    </row>
    <row r="6">
      <c r="A6" s="9" t="n">
        <v>2</v>
      </c>
      <c r="B6" s="9">
        <f>Sheet2_ต้นทุน!A6</f>
        <v/>
      </c>
      <c r="C6" s="9">
        <f>Sheet2_ต้นทุน!B6</f>
        <v/>
      </c>
      <c r="D6" s="9">
        <f>Sheet2_ต้นทุน!C6</f>
        <v/>
      </c>
      <c r="E6" s="14">
        <f>Sheet2_ต้นทุน!K6</f>
        <v/>
      </c>
      <c r="F6" s="15">
        <f>E6*D6</f>
        <v/>
      </c>
      <c r="G6" s="9">
        <f>Sheet2_ต้นทุน!N6</f>
        <v/>
      </c>
    </row>
    <row r="7">
      <c r="A7" s="9" t="n">
        <v>3</v>
      </c>
      <c r="B7" s="9">
        <f>Sheet2_ต้นทุน!A7</f>
        <v/>
      </c>
      <c r="C7" s="9">
        <f>Sheet2_ต้นทุน!B7</f>
        <v/>
      </c>
      <c r="D7" s="9">
        <f>Sheet2_ต้นทุน!C7</f>
        <v/>
      </c>
      <c r="E7" s="14">
        <f>Sheet2_ต้นทุน!K7</f>
        <v/>
      </c>
      <c r="F7" s="15">
        <f>E7*D7</f>
        <v/>
      </c>
      <c r="G7" s="9">
        <f>Sheet2_ต้นทุน!N7</f>
        <v/>
      </c>
    </row>
    <row r="9">
      <c r="A9" s="16" t="inlineStr">
        <is>
          <t>รวม Final ทั้งใบ</t>
        </is>
      </c>
      <c r="F9" s="17">
        <f>SUM(F5:F7)</f>
        <v/>
      </c>
    </row>
    <row r="11">
      <c r="A11" s="2" t="inlineStr">
        <is>
          <t>พรีวิวบนเว็บ: /ops/price-sheet (แก้ค่าได้ · คำนวณด้วย computeUnitLanded ชุดเดียวกับแคตตาล็อก)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2026-09-09T06:30:01Z</dcterms:created>
  <dcterms:modified xmlns:dcterms="http://purl.org/dc/terms/" xmlns:xsi="http://www.w3.org/2001/XMLSchema-instance" xsi:type="dcterms:W3CDTF">2026-09-09T06:30:01Z</dcterms:modified>
</cp:coreProperties>
</file>